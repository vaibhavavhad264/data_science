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matplotseaborn\distribution\"/>
    </mc:Choice>
  </mc:AlternateContent>
  <xr:revisionPtr revIDLastSave="0" documentId="8_{E27EBAC7-6FB2-4EFA-932A-04A3F7B5A3F8}" xr6:coauthVersionLast="47" xr6:coauthVersionMax="47" xr10:uidLastSave="{00000000-0000-0000-0000-000000000000}"/>
  <bookViews>
    <workbookView xWindow="-96" yWindow="0" windowWidth="11712" windowHeight="12336" xr2:uid="{63FA27DD-184B-47DB-B8D6-541587F89DE4}"/>
  </bookViews>
  <sheets>
    <sheet name="Sheet1" sheetId="1" r:id="rId1"/>
  </sheets>
  <definedNames>
    <definedName name="average_height">Sheet1!$A$10</definedName>
    <definedName name="MAD">Sheet1!$F$11</definedName>
    <definedName name="median_value">Sheet1!$F$10</definedName>
    <definedName name="std">Sheet1!$F$11</definedName>
    <definedName name="std_dev">Sheet1!$A$11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2" i="1"/>
  <c r="H3" i="1" a="1"/>
  <c r="H3" i="1"/>
  <c r="H4" i="1" a="1"/>
  <c r="H4" i="1"/>
  <c r="H5" i="1" a="1"/>
  <c r="H5" i="1"/>
  <c r="H6" i="1" a="1"/>
  <c r="H6" i="1"/>
  <c r="H7" i="1" a="1"/>
  <c r="H7" i="1"/>
  <c r="H8" i="1" a="1"/>
  <c r="H8" i="1"/>
  <c r="H2" i="1" a="1"/>
  <c r="H2" i="1"/>
  <c r="F10" i="1"/>
  <c r="G3" i="1" s="1"/>
  <c r="A11" i="1"/>
  <c r="B4" i="1" s="1"/>
  <c r="C4" i="1" s="1"/>
  <c r="A10" i="1"/>
  <c r="B3" i="1" s="1"/>
  <c r="C3" i="1" s="1"/>
  <c r="B2" i="1" l="1"/>
  <c r="C2" i="1" s="1"/>
  <c r="B8" i="1"/>
  <c r="C8" i="1" s="1"/>
  <c r="B7" i="1"/>
  <c r="C7" i="1" s="1"/>
  <c r="B6" i="1"/>
  <c r="C6" i="1" s="1"/>
  <c r="B5" i="1"/>
  <c r="C5" i="1" s="1"/>
  <c r="G2" i="1"/>
  <c r="G8" i="1"/>
  <c r="G7" i="1"/>
  <c r="G6" i="1"/>
  <c r="G5" i="1"/>
  <c r="G4" i="1"/>
  <c r="F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<sst xmlns="http://schemas.openxmlformats.org/spreadsheetml/2006/main" count="12" uniqueCount="11">
  <si>
    <t>Height</t>
  </si>
  <si>
    <t>Z_Score</t>
  </si>
  <si>
    <t>average</t>
  </si>
  <si>
    <t>std dev</t>
  </si>
  <si>
    <t xml:space="preserve"> </t>
  </si>
  <si>
    <t>Z score &gt; 3</t>
  </si>
  <si>
    <t>median</t>
  </si>
  <si>
    <t>mod_z_score</t>
  </si>
  <si>
    <t>Height - Median</t>
  </si>
  <si>
    <t>MAD</t>
  </si>
  <si>
    <t>mod_z_score &gt; 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</si>
</sst>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7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7" fontId="0" fillId="0" borderId="0" xfId="0" applyNumberFormat="1"/>
    <xf numFmtId="167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981D9-FA5E-4A44-BE18-53D6BA53A9A0}">
  <dimension ref="A1:I11"/>
  <sheetViews>
    <sheetView tabSelected="1" workbookViewId="0">
      <selection activeCell="B9" sqref="B9"/>
    </sheetView>
  </sheetViews>
  <sheetFormatPr defaultRowHeight="14.4" x14ac:dyDescent="0.3"/>
  <cols>
    <col min="7" max="7" width="13.33203125" customWidth="1"/>
    <col min="8" max="8" width="13.109375" customWidth="1"/>
  </cols>
  <sheetData>
    <row r="1" spans="1:9" x14ac:dyDescent="0.3">
      <c r="A1" t="s">
        <v>0</v>
      </c>
      <c r="B1" t="s">
        <v>1</v>
      </c>
      <c r="C1" t="s">
        <v>5</v>
      </c>
      <c r="F1" t="s">
        <v>0</v>
      </c>
      <c r="G1" t="s">
        <v>8</v>
      </c>
      <c r="H1" t="s">
        <v>7</v>
      </c>
      <c r="I1" t="s">
        <v>10</v>
      </c>
    </row>
    <row r="2" spans="1:9" x14ac:dyDescent="0.3">
      <c r="A2">
        <v>5.2</v>
      </c>
      <c r="B2">
        <f>(A2-average_height)/std_dev</f>
        <v>-0.56709987626241831</v>
      </c>
      <c r="C2" t="b">
        <f>B2 &gt; 3</f>
        <v>0</v>
      </c>
      <c r="F2">
        <v>5.2</v>
      </c>
      <c r="G2">
        <f>ABS(F2 - median_value)</f>
        <v>0.29999999999999982</v>
      </c>
      <c r="H2" s="2" cm="1">
        <f t="array" ref="H2">(0.6745 *G2) /MAD</f>
        <v>0.28907142857142831</v>
      </c>
      <c r="I2" t="b">
        <f>H2 &gt; 3.5</f>
        <v>0</v>
      </c>
    </row>
    <row r="3" spans="1:9" x14ac:dyDescent="0.3">
      <c r="A3">
        <v>4.9000000000000004</v>
      </c>
      <c r="B3">
        <f>(A3-average_height)/std_dev</f>
        <v>-0.7396954907770672</v>
      </c>
      <c r="C3" t="b">
        <f t="shared" ref="C3:C8" si="0">B3 &gt; 3</f>
        <v>0</v>
      </c>
      <c r="F3">
        <v>4.9000000000000004</v>
      </c>
      <c r="G3">
        <f>ABS(F3 - median_value)</f>
        <v>0.59999999999999964</v>
      </c>
      <c r="H3" s="2" cm="1">
        <f t="array" ref="H3">(0.6745 *G3) /MAD</f>
        <v>0.57814285714285663</v>
      </c>
      <c r="I3" t="b">
        <f t="shared" ref="I3:I8" si="1">H3 &gt; 3.5</f>
        <v>0</v>
      </c>
    </row>
    <row r="4" spans="1:9" x14ac:dyDescent="0.3">
      <c r="A4">
        <v>4.5</v>
      </c>
      <c r="B4">
        <f>(A4-average_height)/std_dev</f>
        <v>-0.96982297679659946</v>
      </c>
      <c r="C4" t="b">
        <f t="shared" si="0"/>
        <v>0</v>
      </c>
      <c r="F4">
        <v>4.5</v>
      </c>
      <c r="G4">
        <f>ABS(F4 - median_value)</f>
        <v>1</v>
      </c>
      <c r="H4" s="2" cm="1">
        <f t="array" ref="H4">(0.6745 *G4) /MAD</f>
        <v>0.9635714285714283</v>
      </c>
      <c r="I4" t="b">
        <f t="shared" si="1"/>
        <v>0</v>
      </c>
    </row>
    <row r="5" spans="1:9" x14ac:dyDescent="0.3">
      <c r="A5">
        <v>5.5</v>
      </c>
      <c r="B5">
        <f>(A5-average_height)/std_dev</f>
        <v>-0.39450426174776937</v>
      </c>
      <c r="C5" t="b">
        <f t="shared" si="0"/>
        <v>0</v>
      </c>
      <c r="F5">
        <v>5.5</v>
      </c>
      <c r="G5">
        <f>ABS(F5 - median_value)</f>
        <v>0</v>
      </c>
      <c r="H5" s="2" cm="1">
        <f t="array" ref="H5">(0.6745 *G5) /MAD</f>
        <v>0</v>
      </c>
      <c r="I5" t="b">
        <f t="shared" si="1"/>
        <v>0</v>
      </c>
    </row>
    <row r="6" spans="1:9" x14ac:dyDescent="0.3">
      <c r="A6">
        <v>7</v>
      </c>
      <c r="B6">
        <f>(A6-average_height)/std_dev</f>
        <v>0.46847381082547584</v>
      </c>
      <c r="C6" t="b">
        <f t="shared" si="0"/>
        <v>0</v>
      </c>
      <c r="F6">
        <v>7</v>
      </c>
      <c r="G6">
        <f>ABS(F6 - median_value)</f>
        <v>1.5</v>
      </c>
      <c r="H6" s="2" cm="1">
        <f t="array" ref="H6">(0.6745 *G6) /MAD</f>
        <v>1.4453571428571423</v>
      </c>
      <c r="I6" t="b">
        <f t="shared" si="1"/>
        <v>0</v>
      </c>
    </row>
    <row r="7" spans="1:9" x14ac:dyDescent="0.3">
      <c r="A7">
        <v>10</v>
      </c>
      <c r="B7">
        <f>(A7-average_height)/std_dev</f>
        <v>2.194429955971966</v>
      </c>
      <c r="C7" t="b">
        <f t="shared" si="0"/>
        <v>0</v>
      </c>
      <c r="D7" t="s">
        <v>4</v>
      </c>
      <c r="F7">
        <v>10</v>
      </c>
      <c r="G7">
        <f>ABS(F7 - median_value)</f>
        <v>4.5</v>
      </c>
      <c r="H7" s="3" cm="1">
        <f t="array" ref="H7">(0.6745 *G7) /MAD</f>
        <v>4.3360714285714277</v>
      </c>
      <c r="I7" t="b">
        <f t="shared" si="1"/>
        <v>1</v>
      </c>
    </row>
    <row r="8" spans="1:9" x14ac:dyDescent="0.3">
      <c r="A8">
        <v>6.2</v>
      </c>
      <c r="B8">
        <f>(A8-average_height)/std_dev</f>
        <v>8.2188387864118289E-3</v>
      </c>
      <c r="C8" t="b">
        <f t="shared" si="0"/>
        <v>0</v>
      </c>
      <c r="F8">
        <v>6.2</v>
      </c>
      <c r="G8">
        <f>ABS(F8 - median_value)</f>
        <v>0.70000000000000018</v>
      </c>
      <c r="H8" s="2" cm="1">
        <f t="array" ref="H8">(0.6745 *G8) /MAD</f>
        <v>0.67449999999999999</v>
      </c>
      <c r="I8" t="b">
        <f t="shared" si="1"/>
        <v>0</v>
      </c>
    </row>
    <row r="10" spans="1:9" x14ac:dyDescent="0.3">
      <c r="A10" s="2">
        <f>AVERAGE(A2:A8)</f>
        <v>6.1857142857142859</v>
      </c>
      <c r="B10" t="s">
        <v>2</v>
      </c>
      <c r="F10">
        <f>MEDIAN(F2:F8)</f>
        <v>5.5</v>
      </c>
      <c r="G10" t="s">
        <v>6</v>
      </c>
    </row>
    <row r="11" spans="1:9" x14ac:dyDescent="0.3">
      <c r="A11" s="1">
        <f>_xlfn.STDEV.P(A2:A8)</f>
        <v>1.7381669913434419</v>
      </c>
      <c r="B11" t="s">
        <v>3</v>
      </c>
      <c r="F11" s="2">
        <f>MEDIAN(G2:G8)</f>
        <v>0.70000000000000018</v>
      </c>
      <c r="G1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average_height</vt:lpstr>
      <vt:lpstr>MAD</vt:lpstr>
      <vt:lpstr>median_value</vt:lpstr>
      <vt:lpstr>std</vt:lpstr>
      <vt:lpstr>std_dev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Avhad</dc:creator>
  <cp:lastModifiedBy>Vaibhav Avhad</cp:lastModifiedBy>
  <dcterms:created xsi:type="dcterms:W3CDTF">2026-07-18T05:13:19Z</dcterms:created>
  <dcterms:modified xsi:type="dcterms:W3CDTF">2026-07-18T05:54:41Z</dcterms:modified>
</cp:coreProperties>
</file>